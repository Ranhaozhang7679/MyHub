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M标定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4472C4"/>
      <sz val="11"/>
    </font>
    <font>
      <b val="1"/>
      <color rgb="00C00000"/>
      <sz val="11"/>
    </font>
    <font>
      <b val="1"/>
      <sz val="12"/>
    </font>
    <font>
      <sz val="11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电流K</t>
        </is>
      </c>
      <c r="B1" s="1" t="inlineStr">
        <is>
          <t>电流B</t>
        </is>
      </c>
      <c r="C1" s="1" t="inlineStr">
        <is>
          <t>扭矩K</t>
        </is>
      </c>
      <c r="D1" s="1" t="inlineStr">
        <is>
          <t>扭矩B</t>
        </is>
      </c>
      <c r="E1" s="2" t="inlineStr">
        <is>
          <t>公式: 压力 = x × (K/1000) + (B/1000)</t>
        </is>
      </c>
    </row>
    <row r="2">
      <c r="A2" s="3">
        <f>SLOPE(C4:C13,B4:B13)*1000</f>
        <v/>
      </c>
      <c r="B2" s="3">
        <f>INTERCEPT(C4:C13,B4:B13)*1000</f>
        <v/>
      </c>
      <c r="C2" s="3">
        <f>SLOPE(C4:C13,A4:A13)*1000</f>
        <v/>
      </c>
      <c r="D2" s="3">
        <f>INTERCEPT(C4:C13,A4:A13)*1000</f>
        <v/>
      </c>
      <c r="E2" s="2" t="inlineStr">
        <is>
          <t>K/B = SLOPE/INTERCEPT × 1000（与代码约定一致）</t>
        </is>
      </c>
    </row>
    <row r="3">
      <c r="A3" s="4" t="inlineStr">
        <is>
          <t>扭矩正向限制</t>
        </is>
      </c>
      <c r="B3" s="4" t="inlineStr">
        <is>
          <t>反馈电流/mA</t>
        </is>
      </c>
      <c r="C3" s="4" t="inlineStr">
        <is>
          <t>压力/N</t>
        </is>
      </c>
      <c r="D3" s="4" t="inlineStr">
        <is>
          <t>电流计算压力</t>
        </is>
      </c>
      <c r="E3" s="4" t="inlineStr">
        <is>
          <t>电流误差(%)</t>
        </is>
      </c>
      <c r="F3" s="4" t="inlineStr">
        <is>
          <t>扭矩计算压力</t>
        </is>
      </c>
      <c r="G3" s="4" t="inlineStr">
        <is>
          <t>扭矩误差(%)</t>
        </is>
      </c>
    </row>
    <row r="4">
      <c r="A4" s="5" t="n">
        <v>800</v>
      </c>
      <c r="B4" s="5" t="n">
        <v>420</v>
      </c>
      <c r="C4" s="6" t="n">
        <v>0.24</v>
      </c>
      <c r="D4" s="7">
        <f>B4*$A$2/1000+$B$2/1000</f>
        <v/>
      </c>
      <c r="E4" s="7">
        <f>(D4-C4)/C4*100</f>
        <v/>
      </c>
      <c r="F4" s="8">
        <f>A4*$C$2/1000+$D$2/1000</f>
        <v/>
      </c>
      <c r="G4" s="8">
        <f>(F4-C4)/C4*100</f>
        <v/>
      </c>
    </row>
    <row r="5">
      <c r="A5" s="5" t="n">
        <v>900</v>
      </c>
      <c r="B5" s="5" t="n">
        <v>470</v>
      </c>
      <c r="C5" s="6" t="n">
        <v>0.27</v>
      </c>
      <c r="D5" s="7">
        <f>B5*$A$2/1000+$B$2/1000</f>
        <v/>
      </c>
      <c r="E5" s="7">
        <f>(D5-C5)/C5*100</f>
        <v/>
      </c>
      <c r="F5" s="8">
        <f>A5*$C$2/1000+$D$2/1000</f>
        <v/>
      </c>
      <c r="G5" s="8">
        <f>(F5-C5)/C5*100</f>
        <v/>
      </c>
    </row>
    <row r="6">
      <c r="A6" s="5" t="n">
        <v>1000</v>
      </c>
      <c r="B6" s="5" t="n">
        <v>530</v>
      </c>
      <c r="C6" s="6" t="n">
        <v>0.31</v>
      </c>
      <c r="D6" s="7">
        <f>B6*$A$2/1000+$B$2/1000</f>
        <v/>
      </c>
      <c r="E6" s="7">
        <f>(D6-C6)/C6*100</f>
        <v/>
      </c>
      <c r="F6" s="8">
        <f>A6*$C$2/1000+$D$2/1000</f>
        <v/>
      </c>
      <c r="G6" s="8">
        <f>(F6-C6)/C6*100</f>
        <v/>
      </c>
    </row>
    <row r="7">
      <c r="A7" s="5" t="n">
        <v>1100</v>
      </c>
      <c r="B7" s="5" t="n">
        <v>580</v>
      </c>
      <c r="C7" s="6" t="n">
        <v>0.35</v>
      </c>
      <c r="D7" s="7">
        <f>B7*$A$2/1000+$B$2/1000</f>
        <v/>
      </c>
      <c r="E7" s="7">
        <f>(D7-C7)/C7*100</f>
        <v/>
      </c>
      <c r="F7" s="8">
        <f>A7*$C$2/1000+$D$2/1000</f>
        <v/>
      </c>
      <c r="G7" s="8">
        <f>(F7-C7)/C7*100</f>
        <v/>
      </c>
    </row>
    <row r="8">
      <c r="A8" s="5" t="n">
        <v>1200</v>
      </c>
      <c r="B8" s="5" t="n">
        <v>630</v>
      </c>
      <c r="C8" s="6" t="n">
        <v>0.38</v>
      </c>
      <c r="D8" s="7">
        <f>B8*$A$2/1000+$B$2/1000</f>
        <v/>
      </c>
      <c r="E8" s="7">
        <f>(D8-C8)/C8*100</f>
        <v/>
      </c>
      <c r="F8" s="8">
        <f>A8*$C$2/1000+$D$2/1000</f>
        <v/>
      </c>
      <c r="G8" s="8">
        <f>(F8-C8)/C8*100</f>
        <v/>
      </c>
    </row>
    <row r="9">
      <c r="A9" s="5" t="n">
        <v>1300</v>
      </c>
      <c r="B9" s="5" t="n">
        <v>690</v>
      </c>
      <c r="C9" s="6" t="n">
        <v>0.42</v>
      </c>
      <c r="D9" s="7">
        <f>B9*$A$2/1000+$B$2/1000</f>
        <v/>
      </c>
      <c r="E9" s="7">
        <f>(D9-C9)/C9*100</f>
        <v/>
      </c>
      <c r="F9" s="8">
        <f>A9*$C$2/1000+$D$2/1000</f>
        <v/>
      </c>
      <c r="G9" s="8">
        <f>(F9-C9)/C9*100</f>
        <v/>
      </c>
    </row>
    <row r="10">
      <c r="A10" s="5" t="n">
        <v>1400</v>
      </c>
      <c r="B10" s="5" t="n">
        <v>740</v>
      </c>
      <c r="C10" s="6" t="n">
        <v>0.46</v>
      </c>
      <c r="D10" s="7">
        <f>B10*$A$2/1000+$B$2/1000</f>
        <v/>
      </c>
      <c r="E10" s="7">
        <f>(D10-C10)/C10*100</f>
        <v/>
      </c>
      <c r="F10" s="8">
        <f>A10*$C$2/1000+$D$2/1000</f>
        <v/>
      </c>
      <c r="G10" s="8">
        <f>(F10-C10)/C10*100</f>
        <v/>
      </c>
    </row>
    <row r="11">
      <c r="A11" s="5" t="n">
        <v>1500</v>
      </c>
      <c r="B11" s="5" t="n">
        <v>800</v>
      </c>
      <c r="C11" s="6" t="n">
        <v>0.49</v>
      </c>
      <c r="D11" s="7">
        <f>B11*$A$2/1000+$B$2/1000</f>
        <v/>
      </c>
      <c r="E11" s="7">
        <f>(D11-C11)/C11*100</f>
        <v/>
      </c>
      <c r="F11" s="8">
        <f>A11*$C$2/1000+$D$2/1000</f>
        <v/>
      </c>
      <c r="G11" s="8">
        <f>(F11-C11)/C11*100</f>
        <v/>
      </c>
    </row>
    <row r="12">
      <c r="A12" s="5" t="n">
        <v>1600</v>
      </c>
      <c r="B12" s="5" t="n">
        <v>840</v>
      </c>
      <c r="C12" s="6" t="n">
        <v>0.53</v>
      </c>
      <c r="D12" s="7">
        <f>B12*$A$2/1000+$B$2/1000</f>
        <v/>
      </c>
      <c r="E12" s="7">
        <f>(D12-C12)/C12*100</f>
        <v/>
      </c>
      <c r="F12" s="8">
        <f>A12*$C$2/1000+$D$2/1000</f>
        <v/>
      </c>
      <c r="G12" s="8">
        <f>(F12-C12)/C12*100</f>
        <v/>
      </c>
    </row>
    <row r="13">
      <c r="A13" s="5" t="n">
        <v>1700</v>
      </c>
      <c r="B13" s="5" t="n">
        <v>900</v>
      </c>
      <c r="C13" s="6" t="n">
        <v>0.5600000000000001</v>
      </c>
      <c r="D13" s="7">
        <f>B13*$A$2/1000+$B$2/1000</f>
        <v/>
      </c>
      <c r="E13" s="7">
        <f>(D13-C13)/C13*100</f>
        <v/>
      </c>
      <c r="F13" s="8">
        <f>A13*$C$2/1000+$D$2/1000</f>
        <v/>
      </c>
      <c r="G13" s="8">
        <f>(F13-C13)/C13*100</f>
        <v/>
      </c>
    </row>
  </sheetData>
  <mergeCells count="2">
    <mergeCell ref="E2:G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2026-04-24T04:16:07Z</dcterms:created>
  <dcterms:modified xsi:type="dcterms:W3CDTF">2026-04-24T04:16:07Z</dcterms:modified>
</cp:coreProperties>
</file>